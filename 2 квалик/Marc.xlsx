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N4" i="1" l="1"/>
  <c r="CM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B6" i="1"/>
  <c r="CM4" i="1"/>
</calcChain>
</file>

<file path=xl/sharedStrings.xml><?xml version="1.0" encoding="utf-8"?>
<sst xmlns="http://schemas.openxmlformats.org/spreadsheetml/2006/main" count="102" uniqueCount="81">
  <si>
    <t xml:space="preserve"> создана </t>
  </si>
  <si>
    <t>Activity</t>
  </si>
  <si>
    <t xml:space="preserve">соот название </t>
  </si>
  <si>
    <t xml:space="preserve">определены все процессы </t>
  </si>
  <si>
    <t xml:space="preserve">выбран верный шаблон </t>
  </si>
  <si>
    <t>имеется два сохранёныйх файла верного типа</t>
  </si>
  <si>
    <t>Use case</t>
  </si>
  <si>
    <t xml:space="preserve">определены все роли </t>
  </si>
  <si>
    <t>создана</t>
  </si>
  <si>
    <t xml:space="preserve">определны все сущьности </t>
  </si>
  <si>
    <t xml:space="preserve">определены необходимые атрибуты </t>
  </si>
  <si>
    <t xml:space="preserve">типы данных атрибутов логичны </t>
  </si>
  <si>
    <t xml:space="preserve">набора сущьностей достаточно для реализации системы </t>
  </si>
  <si>
    <t>ER</t>
  </si>
  <si>
    <t xml:space="preserve">определены процессы </t>
  </si>
  <si>
    <t xml:space="preserve">определены передаваемые данные </t>
  </si>
  <si>
    <t>DFD</t>
  </si>
  <si>
    <t xml:space="preserve">определены сущьности </t>
  </si>
  <si>
    <t xml:space="preserve">определены атрибуты </t>
  </si>
  <si>
    <t>взаимодействее логично</t>
  </si>
  <si>
    <t>диаграмма классов</t>
  </si>
  <si>
    <t xml:space="preserve">создана </t>
  </si>
  <si>
    <t>имеет логичное название</t>
  </si>
  <si>
    <t xml:space="preserve">первичный ключ есть в каждой таблице </t>
  </si>
  <si>
    <t xml:space="preserve">автоинкремент во всех таблицах </t>
  </si>
  <si>
    <t xml:space="preserve">каждая таблица заполнена </t>
  </si>
  <si>
    <t xml:space="preserve">у каждой таблицы минимум 1 связь </t>
  </si>
  <si>
    <t>БД</t>
  </si>
  <si>
    <t xml:space="preserve">создан </t>
  </si>
  <si>
    <t xml:space="preserve">имеет понятное название </t>
  </si>
  <si>
    <t>есть записи для каждой таблицы</t>
  </si>
  <si>
    <t>записей не менее 10</t>
  </si>
  <si>
    <t xml:space="preserve">Табель </t>
  </si>
  <si>
    <t xml:space="preserve">создано </t>
  </si>
  <si>
    <t xml:space="preserve">имеет соотназвание </t>
  </si>
  <si>
    <t xml:space="preserve">1 подключение к базе </t>
  </si>
  <si>
    <t xml:space="preserve">подключение явное </t>
  </si>
  <si>
    <t xml:space="preserve">строгая иерархия </t>
  </si>
  <si>
    <t xml:space="preserve">названия элементов не дефолтное </t>
  </si>
  <si>
    <t xml:space="preserve">название папок логичное </t>
  </si>
  <si>
    <t xml:space="preserve">название функциональных элементов логично </t>
  </si>
  <si>
    <t>у не функциональных элементов нет названии</t>
  </si>
  <si>
    <t xml:space="preserve">нет пустых методов </t>
  </si>
  <si>
    <t xml:space="preserve">нет пустых классов </t>
  </si>
  <si>
    <t xml:space="preserve">нет пустых папок </t>
  </si>
  <si>
    <t xml:space="preserve">нет закомментированных участков кода </t>
  </si>
  <si>
    <t>App Stat</t>
  </si>
  <si>
    <t xml:space="preserve">имеется 1 юнит тест </t>
  </si>
  <si>
    <t xml:space="preserve">юнит тест правильно определяет значение </t>
  </si>
  <si>
    <t xml:space="preserve">тесткейс создан </t>
  </si>
  <si>
    <t>имеется 5 кейсов для каждоый функции (25)</t>
  </si>
  <si>
    <t xml:space="preserve">результат каждого теста определён точно </t>
  </si>
  <si>
    <t xml:space="preserve">шаги прописаны со старта приложения </t>
  </si>
  <si>
    <t xml:space="preserve">шаблон использован верно </t>
  </si>
  <si>
    <t>тесткейс</t>
  </si>
  <si>
    <t xml:space="preserve">приложение запускается </t>
  </si>
  <si>
    <t>иконка изменена</t>
  </si>
  <si>
    <t xml:space="preserve">нет системных кнопок закрыть и свернуть </t>
  </si>
  <si>
    <t xml:space="preserve">вывод соот шаблону </t>
  </si>
  <si>
    <t xml:space="preserve">пагинация работает </t>
  </si>
  <si>
    <t xml:space="preserve">индекатор определяется верно </t>
  </si>
  <si>
    <t xml:space="preserve">шаг пишинации не заходит за границу </t>
  </si>
  <si>
    <t xml:space="preserve">информация выводится корректно </t>
  </si>
  <si>
    <t xml:space="preserve">при изменений инфомрации меняется время </t>
  </si>
  <si>
    <t xml:space="preserve">после закрытия приложения изменения сохраняются </t>
  </si>
  <si>
    <t>приложение работает корр</t>
  </si>
  <si>
    <t>App Event</t>
  </si>
  <si>
    <t xml:space="preserve">соот шаблон </t>
  </si>
  <si>
    <t xml:space="preserve">есть графические илюстрации </t>
  </si>
  <si>
    <t xml:space="preserve">указанны все роли системы </t>
  </si>
  <si>
    <t xml:space="preserve">руководство </t>
  </si>
  <si>
    <t xml:space="preserve">указанны все процессы реализованные </t>
  </si>
  <si>
    <t xml:space="preserve">есть результаты тыестирования </t>
  </si>
  <si>
    <t xml:space="preserve">спецификация </t>
  </si>
  <si>
    <t xml:space="preserve">создан репозиторий </t>
  </si>
  <si>
    <t xml:space="preserve">имеется соот название </t>
  </si>
  <si>
    <t>результаты зафиксированны полностью</t>
  </si>
  <si>
    <t xml:space="preserve">ветка не дефолтная </t>
  </si>
  <si>
    <t xml:space="preserve">коммит несёт информацию </t>
  </si>
  <si>
    <t xml:space="preserve">коммит не дефолтный </t>
  </si>
  <si>
    <t>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</si>
</sst>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>
      <alignment horizontal="center"/>
    </xf>
    <xf numFmtId="0" fontId="0" fillId="0" borderId="0" xfId="0" applyAlignment="1">
      <alignment textRotation="90" wrapText="1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E7"/>
  <sheetViews>
    <sheetView tabSelected="1" workbookViewId="0">
      <selection activeCell="Z7" sqref="Z7"/>
    </sheetView>
  </sheetViews>
  <sheetFormatPr defaultRowHeight="15" x14ac:dyDescent="0.25"/>
  <cols>
    <col min="2" max="2" width="3" customWidth="1"/>
    <col min="3" max="3" width="3.140625" customWidth="1"/>
    <col min="4" max="4" width="2.85546875" customWidth="1"/>
    <col min="5" max="5" width="3" customWidth="1"/>
    <col min="6" max="6" width="5.5703125" customWidth="1"/>
    <col min="7" max="7" width="3.42578125" customWidth="1"/>
    <col min="8" max="8" width="3.5703125" customWidth="1"/>
    <col min="9" max="10" width="2.85546875" customWidth="1"/>
    <col min="11" max="11" width="3.7109375" customWidth="1"/>
    <col min="12" max="12" width="6.5703125" customWidth="1"/>
    <col min="13" max="13" width="3.140625" customWidth="1"/>
    <col min="14" max="14" width="3" customWidth="1"/>
    <col min="15" max="15" width="5.140625" customWidth="1"/>
    <col min="16" max="16" width="6" customWidth="1"/>
    <col min="18" max="18" width="3.140625" customWidth="1"/>
    <col min="19" max="19" width="5.42578125" customWidth="1"/>
    <col min="20" max="21" width="3.140625" customWidth="1"/>
    <col min="22" max="22" width="5.28515625" customWidth="1"/>
    <col min="23" max="23" width="3.28515625" customWidth="1"/>
    <col min="24" max="24" width="5.42578125" customWidth="1"/>
    <col min="25" max="25" width="3.42578125" customWidth="1"/>
    <col min="26" max="27" width="3" customWidth="1"/>
    <col min="28" max="28" width="3.7109375" customWidth="1"/>
    <col min="29" max="29" width="3.28515625" customWidth="1"/>
    <col min="30" max="30" width="5.42578125" customWidth="1"/>
    <col min="31" max="32" width="3.28515625" customWidth="1"/>
    <col min="33" max="33" width="3" customWidth="1"/>
    <col min="34" max="34" width="6.140625" customWidth="1"/>
    <col min="35" max="35" width="5.5703125" customWidth="1"/>
    <col min="36" max="36" width="5.85546875" customWidth="1"/>
    <col min="37" max="37" width="5.7109375" customWidth="1"/>
    <col min="38" max="38" width="3" customWidth="1"/>
    <col min="39" max="39" width="5.7109375" customWidth="1"/>
    <col min="40" max="40" width="3.140625" customWidth="1"/>
    <col min="41" max="41" width="3" customWidth="1"/>
    <col min="42" max="42" width="7" customWidth="1"/>
    <col min="43" max="43" width="3.140625" customWidth="1"/>
    <col min="44" max="47" width="2.7109375" customWidth="1"/>
    <col min="48" max="48" width="2.85546875" customWidth="1"/>
    <col min="49" max="49" width="5.85546875" customWidth="1"/>
    <col min="50" max="50" width="3.42578125" customWidth="1"/>
    <col min="51" max="51" width="5.42578125" customWidth="1"/>
    <col min="52" max="52" width="5.85546875" customWidth="1"/>
    <col min="53" max="53" width="2.7109375" customWidth="1"/>
    <col min="54" max="54" width="2.85546875" customWidth="1"/>
    <col min="55" max="55" width="2.5703125" customWidth="1"/>
    <col min="56" max="56" width="6" customWidth="1"/>
    <col min="57" max="57" width="3.28515625" customWidth="1"/>
    <col min="58" max="58" width="5.42578125" customWidth="1"/>
    <col min="59" max="59" width="3.140625" customWidth="1"/>
    <col min="60" max="60" width="6.5703125" customWidth="1"/>
    <col min="61" max="61" width="5.85546875" customWidth="1"/>
    <col min="62" max="62" width="5.140625" customWidth="1"/>
    <col min="63" max="63" width="3.140625" customWidth="1"/>
    <col min="64" max="64" width="3.5703125" customWidth="1"/>
    <col min="65" max="65" width="3.140625" customWidth="1"/>
    <col min="66" max="66" width="5.42578125" customWidth="1"/>
    <col min="67" max="67" width="2.85546875" customWidth="1"/>
    <col min="68" max="68" width="3.140625" customWidth="1"/>
    <col min="69" max="69" width="6" customWidth="1"/>
    <col min="70" max="71" width="6.140625" customWidth="1"/>
    <col min="72" max="72" width="5.7109375" customWidth="1"/>
    <col min="73" max="73" width="6" customWidth="1"/>
    <col min="74" max="74" width="2.85546875" customWidth="1"/>
    <col min="75" max="75" width="3.5703125" customWidth="1"/>
    <col min="76" max="76" width="3" customWidth="1"/>
    <col min="77" max="77" width="3.28515625" customWidth="1"/>
    <col min="78" max="78" width="3" customWidth="1"/>
    <col min="79" max="79" width="2.7109375" customWidth="1"/>
    <col min="80" max="81" width="3.28515625" customWidth="1"/>
    <col min="82" max="82" width="2.85546875" customWidth="1"/>
    <col min="83" max="83" width="5.5703125" customWidth="1"/>
    <col min="84" max="84" width="6.28515625" customWidth="1"/>
    <col min="85" max="85" width="2.7109375" customWidth="1"/>
    <col min="86" max="86" width="2.5703125" customWidth="1"/>
    <col min="87" max="87" width="6" customWidth="1"/>
    <col min="88" max="88" width="2.7109375" customWidth="1"/>
    <col min="89" max="89" width="3.42578125" customWidth="1"/>
    <col min="90" max="90" width="2.7109375" customWidth="1"/>
  </cols>
  <sheetData>
    <row r="1" spans="2:10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</row>
    <row r="2" spans="2:109" ht="148.5" customHeight="1" x14ac:dyDescent="0.25">
      <c r="B2" s="1" t="s">
        <v>0</v>
      </c>
      <c r="C2" s="1" t="s">
        <v>2</v>
      </c>
      <c r="D2" s="1" t="s">
        <v>3</v>
      </c>
      <c r="E2" s="1" t="s">
        <v>4</v>
      </c>
      <c r="F2" s="3" t="s">
        <v>5</v>
      </c>
      <c r="G2" s="1" t="s">
        <v>0</v>
      </c>
      <c r="H2" s="1" t="s">
        <v>2</v>
      </c>
      <c r="I2" s="1" t="s">
        <v>3</v>
      </c>
      <c r="J2" s="1" t="s">
        <v>7</v>
      </c>
      <c r="K2" s="1" t="s">
        <v>4</v>
      </c>
      <c r="L2" s="3" t="s">
        <v>5</v>
      </c>
      <c r="M2" s="1" t="s">
        <v>8</v>
      </c>
      <c r="N2" s="1" t="s">
        <v>9</v>
      </c>
      <c r="O2" s="3" t="s">
        <v>10</v>
      </c>
      <c r="P2" s="3" t="s">
        <v>11</v>
      </c>
      <c r="Q2" s="3" t="s">
        <v>12</v>
      </c>
      <c r="R2" s="1" t="s">
        <v>4</v>
      </c>
      <c r="S2" s="3" t="s">
        <v>5</v>
      </c>
      <c r="T2" s="1" t="s">
        <v>8</v>
      </c>
      <c r="U2" s="3" t="s">
        <v>14</v>
      </c>
      <c r="V2" s="3" t="s">
        <v>15</v>
      </c>
      <c r="W2" s="1" t="s">
        <v>4</v>
      </c>
      <c r="X2" s="3" t="s">
        <v>5</v>
      </c>
      <c r="Y2" s="1" t="s">
        <v>8</v>
      </c>
      <c r="Z2" s="1" t="s">
        <v>17</v>
      </c>
      <c r="AA2" s="1" t="s">
        <v>18</v>
      </c>
      <c r="AB2" s="1" t="s">
        <v>19</v>
      </c>
      <c r="AC2" s="1" t="s">
        <v>4</v>
      </c>
      <c r="AD2" s="3" t="s">
        <v>5</v>
      </c>
      <c r="AE2" s="1" t="s">
        <v>21</v>
      </c>
      <c r="AF2" s="1" t="s">
        <v>22</v>
      </c>
      <c r="AG2" s="1" t="s">
        <v>9</v>
      </c>
      <c r="AH2" s="3" t="s">
        <v>10</v>
      </c>
      <c r="AI2" s="3" t="s">
        <v>11</v>
      </c>
      <c r="AJ2" s="3" t="s">
        <v>23</v>
      </c>
      <c r="AK2" s="3" t="s">
        <v>24</v>
      </c>
      <c r="AL2" s="1" t="s">
        <v>25</v>
      </c>
      <c r="AM2" s="3" t="s">
        <v>26</v>
      </c>
      <c r="AN2" s="3" t="s">
        <v>28</v>
      </c>
      <c r="AO2" s="3" t="s">
        <v>29</v>
      </c>
      <c r="AP2" s="3" t="s">
        <v>30</v>
      </c>
      <c r="AQ2" s="3" t="s">
        <v>31</v>
      </c>
      <c r="AR2" s="3" t="s">
        <v>33</v>
      </c>
      <c r="AS2" s="3" t="s">
        <v>34</v>
      </c>
      <c r="AT2" s="3" t="s">
        <v>35</v>
      </c>
      <c r="AU2" s="3" t="s">
        <v>36</v>
      </c>
      <c r="AV2" s="3" t="s">
        <v>37</v>
      </c>
      <c r="AW2" s="3" t="s">
        <v>38</v>
      </c>
      <c r="AX2" s="3" t="s">
        <v>39</v>
      </c>
      <c r="AY2" s="3" t="s">
        <v>40</v>
      </c>
      <c r="AZ2" s="3" t="s">
        <v>41</v>
      </c>
      <c r="BA2" s="1" t="s">
        <v>42</v>
      </c>
      <c r="BB2" s="1" t="s">
        <v>43</v>
      </c>
      <c r="BC2" s="1" t="s">
        <v>44</v>
      </c>
      <c r="BD2" s="3" t="s">
        <v>45</v>
      </c>
      <c r="BE2" s="1" t="s">
        <v>47</v>
      </c>
      <c r="BF2" s="3" t="s">
        <v>48</v>
      </c>
      <c r="BG2" s="1" t="s">
        <v>49</v>
      </c>
      <c r="BH2" s="3" t="s">
        <v>50</v>
      </c>
      <c r="BI2" s="3" t="s">
        <v>51</v>
      </c>
      <c r="BJ2" s="3" t="s">
        <v>52</v>
      </c>
      <c r="BK2" s="1" t="s">
        <v>53</v>
      </c>
      <c r="BL2" s="1" t="s">
        <v>55</v>
      </c>
      <c r="BM2" s="1" t="s">
        <v>56</v>
      </c>
      <c r="BN2" s="3" t="s">
        <v>57</v>
      </c>
      <c r="BO2" s="1" t="s">
        <v>58</v>
      </c>
      <c r="BP2" s="1" t="s">
        <v>59</v>
      </c>
      <c r="BQ2" s="3" t="s">
        <v>60</v>
      </c>
      <c r="BR2" s="3" t="s">
        <v>61</v>
      </c>
      <c r="BS2" s="3" t="s">
        <v>62</v>
      </c>
      <c r="BT2" s="3" t="s">
        <v>63</v>
      </c>
      <c r="BU2" s="3" t="s">
        <v>64</v>
      </c>
      <c r="BV2" s="1" t="s">
        <v>65</v>
      </c>
      <c r="BW2" s="1" t="s">
        <v>33</v>
      </c>
      <c r="BX2" s="1" t="s">
        <v>2</v>
      </c>
      <c r="BY2" s="1" t="s">
        <v>67</v>
      </c>
      <c r="BZ2" s="1" t="s">
        <v>68</v>
      </c>
      <c r="CA2" s="1" t="s">
        <v>69</v>
      </c>
      <c r="CB2" s="1" t="s">
        <v>33</v>
      </c>
      <c r="CC2" s="1" t="s">
        <v>2</v>
      </c>
      <c r="CD2" s="1" t="s">
        <v>67</v>
      </c>
      <c r="CE2" s="3" t="s">
        <v>72</v>
      </c>
      <c r="CF2" s="3" t="s">
        <v>71</v>
      </c>
      <c r="CG2" s="1" t="s">
        <v>74</v>
      </c>
      <c r="CH2" s="1" t="s">
        <v>75</v>
      </c>
      <c r="CI2" s="3" t="s">
        <v>76</v>
      </c>
      <c r="CJ2" s="1" t="s">
        <v>77</v>
      </c>
      <c r="CK2" s="1" t="s">
        <v>78</v>
      </c>
      <c r="CL2" s="1" t="s">
        <v>79</v>
      </c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</row>
    <row r="3" spans="2:109" x14ac:dyDescent="0.25">
      <c r="B3" s="2" t="s">
        <v>1</v>
      </c>
      <c r="C3" s="2"/>
      <c r="D3" s="2"/>
      <c r="E3" s="2"/>
      <c r="F3" s="2"/>
      <c r="G3" s="2" t="s">
        <v>6</v>
      </c>
      <c r="H3" s="2"/>
      <c r="I3" s="2"/>
      <c r="J3" s="2"/>
      <c r="K3" s="2"/>
      <c r="L3" s="2"/>
      <c r="M3" s="2" t="s">
        <v>13</v>
      </c>
      <c r="N3" s="2"/>
      <c r="O3" s="2"/>
      <c r="P3" s="2"/>
      <c r="Q3" s="2"/>
      <c r="R3" s="2"/>
      <c r="S3" s="2"/>
      <c r="T3" s="2" t="s">
        <v>16</v>
      </c>
      <c r="U3" s="2"/>
      <c r="V3" s="2"/>
      <c r="W3" s="2"/>
      <c r="X3" s="2"/>
      <c r="Y3" s="2" t="s">
        <v>20</v>
      </c>
      <c r="Z3" s="2"/>
      <c r="AA3" s="2"/>
      <c r="AB3" s="2"/>
      <c r="AC3" s="2"/>
      <c r="AD3" s="2"/>
      <c r="AE3" s="2" t="s">
        <v>27</v>
      </c>
      <c r="AF3" s="2"/>
      <c r="AG3" s="2"/>
      <c r="AH3" s="2"/>
      <c r="AI3" s="2"/>
      <c r="AJ3" s="2"/>
      <c r="AK3" s="2"/>
      <c r="AL3" s="2"/>
      <c r="AM3" s="2"/>
      <c r="AN3" s="2" t="s">
        <v>32</v>
      </c>
      <c r="AO3" s="2"/>
      <c r="AP3" s="2"/>
      <c r="AQ3" s="2"/>
      <c r="AR3" s="2" t="s">
        <v>46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 t="s">
        <v>54</v>
      </c>
      <c r="BF3" s="2"/>
      <c r="BG3" s="2"/>
      <c r="BH3" s="2"/>
      <c r="BI3" s="2"/>
      <c r="BJ3" s="2"/>
      <c r="BK3" s="2"/>
      <c r="BL3" s="4" t="s">
        <v>66</v>
      </c>
      <c r="BM3" s="4"/>
      <c r="BN3" s="4"/>
      <c r="BO3" s="4"/>
      <c r="BP3" s="4"/>
      <c r="BQ3" s="4"/>
      <c r="BR3" s="4"/>
      <c r="BS3" s="4"/>
      <c r="BT3" s="4"/>
      <c r="BU3" s="4"/>
      <c r="BV3" s="4"/>
      <c r="BW3" s="2" t="s">
        <v>70</v>
      </c>
      <c r="BX3" s="2"/>
      <c r="BY3" s="2"/>
      <c r="BZ3" s="2"/>
      <c r="CA3" s="2"/>
      <c r="CB3" s="2" t="s">
        <v>73</v>
      </c>
      <c r="CC3" s="2"/>
      <c r="CD3" s="2"/>
      <c r="CE3" s="2"/>
      <c r="CF3" s="2"/>
      <c r="CG3" s="2" t="s">
        <v>80</v>
      </c>
      <c r="CH3" s="2"/>
      <c r="CI3" s="2"/>
      <c r="CJ3" s="2"/>
      <c r="CK3" s="2"/>
      <c r="CL3" s="2"/>
    </row>
    <row r="4" spans="2:109" x14ac:dyDescent="0.25"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2</v>
      </c>
      <c r="AJ4">
        <v>1</v>
      </c>
      <c r="AK4">
        <v>2</v>
      </c>
      <c r="AL4">
        <v>2</v>
      </c>
      <c r="AM4">
        <v>1</v>
      </c>
      <c r="AN4">
        <v>1</v>
      </c>
      <c r="AO4">
        <v>1</v>
      </c>
      <c r="AP4">
        <v>1</v>
      </c>
      <c r="AQ4">
        <v>2</v>
      </c>
      <c r="AR4">
        <v>1</v>
      </c>
      <c r="AS4">
        <v>1</v>
      </c>
      <c r="AT4">
        <v>1</v>
      </c>
      <c r="AU4">
        <v>1</v>
      </c>
      <c r="AV4">
        <v>2</v>
      </c>
      <c r="AW4">
        <v>1</v>
      </c>
      <c r="AX4">
        <v>1</v>
      </c>
      <c r="AY4">
        <v>1</v>
      </c>
      <c r="AZ4">
        <v>1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1</v>
      </c>
      <c r="BH4">
        <v>2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2</v>
      </c>
      <c r="BP4">
        <v>2</v>
      </c>
      <c r="BQ4">
        <v>1</v>
      </c>
      <c r="BR4">
        <v>2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2</v>
      </c>
      <c r="CA4">
        <v>2</v>
      </c>
      <c r="CB4">
        <v>1</v>
      </c>
      <c r="CC4">
        <v>1</v>
      </c>
      <c r="CD4">
        <v>1</v>
      </c>
      <c r="CE4">
        <v>2</v>
      </c>
      <c r="CF4">
        <v>2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f>SUM(B4:CL4)</f>
        <v>108</v>
      </c>
      <c r="CN4">
        <f>4/CM4</f>
        <v>3.7037037037037035E-2</v>
      </c>
    </row>
    <row r="5" spans="2:109" x14ac:dyDescent="0.25">
      <c r="B5">
        <v>4.6296296296296294E-2</v>
      </c>
      <c r="C5">
        <v>4.6296296296296294E-2</v>
      </c>
      <c r="D5">
        <v>4.6296296296296294E-2</v>
      </c>
      <c r="E5">
        <v>4.6296296296296294E-2</v>
      </c>
      <c r="F5">
        <v>4.6296296296296294E-2</v>
      </c>
      <c r="G5">
        <v>4.6296296296296294E-2</v>
      </c>
      <c r="H5">
        <v>4.6296296296296294E-2</v>
      </c>
      <c r="I5">
        <v>4.6296296296296294E-2</v>
      </c>
      <c r="J5">
        <v>4.6296296296296301E-2</v>
      </c>
      <c r="K5">
        <v>4.6296296296296301E-2</v>
      </c>
      <c r="L5">
        <v>4.6296296296296301E-2</v>
      </c>
      <c r="M5">
        <v>4.6296296296296301E-2</v>
      </c>
      <c r="N5">
        <v>4.6296296296296301E-2</v>
      </c>
      <c r="O5">
        <v>4.6296296296296301E-2</v>
      </c>
      <c r="P5">
        <v>4.6296296296296301E-2</v>
      </c>
      <c r="Q5">
        <v>4.6296296296296301E-2</v>
      </c>
      <c r="R5">
        <v>4.6296296296296301E-2</v>
      </c>
      <c r="S5">
        <v>4.6296296296296301E-2</v>
      </c>
      <c r="T5">
        <v>4.6296296296296301E-2</v>
      </c>
      <c r="U5">
        <v>4.6296296296296301E-2</v>
      </c>
      <c r="V5">
        <v>4.6296296296296301E-2</v>
      </c>
      <c r="W5">
        <v>4.6296296296296301E-2</v>
      </c>
      <c r="X5">
        <v>4.6296296296296301E-2</v>
      </c>
      <c r="Y5">
        <v>4.6296296296296301E-2</v>
      </c>
      <c r="Z5">
        <v>4.6296296296296301E-2</v>
      </c>
      <c r="AA5">
        <v>4.6296296296296301E-2</v>
      </c>
      <c r="AB5">
        <v>4.6296296296296301E-2</v>
      </c>
      <c r="AC5">
        <v>4.6296296296296301E-2</v>
      </c>
      <c r="AD5">
        <v>4.6296296296296301E-2</v>
      </c>
      <c r="AE5">
        <v>4.6296296296296301E-2</v>
      </c>
      <c r="AF5">
        <v>4.6296296296296301E-2</v>
      </c>
      <c r="AG5">
        <v>4.6296296296296301E-2</v>
      </c>
      <c r="AH5">
        <v>4.6296296296296301E-2</v>
      </c>
      <c r="AI5">
        <v>4.6296296296296301E-2</v>
      </c>
      <c r="AJ5">
        <v>4.6296296296296301E-2</v>
      </c>
      <c r="AK5">
        <v>4.6296296296296301E-2</v>
      </c>
      <c r="AL5">
        <v>4.6296296296296301E-2</v>
      </c>
      <c r="AM5">
        <v>4.6296296296296301E-2</v>
      </c>
      <c r="AN5">
        <v>4.6296296296296301E-2</v>
      </c>
      <c r="AO5">
        <v>4.6296296296296301E-2</v>
      </c>
      <c r="AP5">
        <v>4.6296296296296301E-2</v>
      </c>
      <c r="AQ5">
        <v>4.6296296296296301E-2</v>
      </c>
      <c r="AR5">
        <v>4.6296296296296301E-2</v>
      </c>
      <c r="AS5">
        <v>4.6296296296296301E-2</v>
      </c>
      <c r="AT5">
        <v>4.6296296296296301E-2</v>
      </c>
      <c r="AU5">
        <v>4.6296296296296301E-2</v>
      </c>
      <c r="AV5">
        <v>4.6296296296296301E-2</v>
      </c>
      <c r="AW5">
        <v>4.6296296296296301E-2</v>
      </c>
      <c r="AX5">
        <v>4.6296296296296301E-2</v>
      </c>
      <c r="AY5">
        <v>4.6296296296296301E-2</v>
      </c>
      <c r="AZ5">
        <v>4.6296296296296301E-2</v>
      </c>
      <c r="BA5">
        <v>4.6296296296296301E-2</v>
      </c>
      <c r="BB5">
        <v>4.6296296296296301E-2</v>
      </c>
      <c r="BC5">
        <v>4.6296296296296301E-2</v>
      </c>
      <c r="BD5">
        <v>4.6296296296296301E-2</v>
      </c>
      <c r="BE5">
        <v>4.6296296296296301E-2</v>
      </c>
      <c r="BF5">
        <v>4.6296296296296301E-2</v>
      </c>
      <c r="BG5">
        <v>4.6296296296296301E-2</v>
      </c>
      <c r="BH5">
        <v>4.6296296296296301E-2</v>
      </c>
      <c r="BI5">
        <v>4.6296296296296301E-2</v>
      </c>
      <c r="BJ5">
        <v>4.6296296296296301E-2</v>
      </c>
      <c r="BK5">
        <v>4.6296296296296301E-2</v>
      </c>
      <c r="BL5">
        <v>4.6296296296296301E-2</v>
      </c>
      <c r="BM5">
        <v>4.6296296296296301E-2</v>
      </c>
      <c r="BN5">
        <v>4.6296296296296301E-2</v>
      </c>
      <c r="BO5">
        <v>4.6296296296296301E-2</v>
      </c>
      <c r="BP5">
        <v>4.6296296296296301E-2</v>
      </c>
      <c r="BQ5">
        <v>4.6296296296296301E-2</v>
      </c>
      <c r="BR5">
        <v>4.6296296296296301E-2</v>
      </c>
      <c r="BS5">
        <v>4.6296296296296301E-2</v>
      </c>
      <c r="BT5">
        <v>4.6296296296296301E-2</v>
      </c>
      <c r="BU5">
        <v>4.6296296296296301E-2</v>
      </c>
      <c r="BV5">
        <v>4.6296296296296301E-2</v>
      </c>
      <c r="BW5">
        <v>4.6296296296296301E-2</v>
      </c>
      <c r="BX5">
        <v>4.6296296296296301E-2</v>
      </c>
      <c r="BY5">
        <v>4.6296296296296301E-2</v>
      </c>
      <c r="BZ5">
        <v>4.6296296296296301E-2</v>
      </c>
      <c r="CA5">
        <v>4.6296296296296301E-2</v>
      </c>
      <c r="CB5">
        <v>4.6296296296296301E-2</v>
      </c>
      <c r="CC5">
        <v>4.6296296296296301E-2</v>
      </c>
      <c r="CD5">
        <v>4.6296296296296301E-2</v>
      </c>
      <c r="CE5">
        <v>4.6296296296296301E-2</v>
      </c>
      <c r="CF5">
        <v>4.6296296296296301E-2</v>
      </c>
      <c r="CG5">
        <v>4.6296296296296301E-2</v>
      </c>
      <c r="CH5">
        <v>4.6296296296296301E-2</v>
      </c>
      <c r="CI5">
        <v>4.6296296296296301E-2</v>
      </c>
      <c r="CJ5">
        <v>4.6296296296296301E-2</v>
      </c>
      <c r="CK5">
        <v>4.6296296296296301E-2</v>
      </c>
      <c r="CL5">
        <v>4.6296296296296301E-2</v>
      </c>
    </row>
    <row r="6" spans="2:109" x14ac:dyDescent="0.25">
      <c r="B6">
        <f>B4*B5</f>
        <v>4.6296296296296294E-2</v>
      </c>
      <c r="C6">
        <f t="shared" ref="C6:BN6" si="0">C4*C5</f>
        <v>4.6296296296296294E-2</v>
      </c>
      <c r="D6">
        <f t="shared" si="0"/>
        <v>4.6296296296296294E-2</v>
      </c>
      <c r="E6">
        <f t="shared" si="0"/>
        <v>4.6296296296296294E-2</v>
      </c>
      <c r="F6">
        <f t="shared" si="0"/>
        <v>4.6296296296296294E-2</v>
      </c>
      <c r="G6">
        <f t="shared" si="0"/>
        <v>4.6296296296296294E-2</v>
      </c>
      <c r="H6">
        <f t="shared" si="0"/>
        <v>4.6296296296296294E-2</v>
      </c>
      <c r="I6">
        <f t="shared" si="0"/>
        <v>4.6296296296296294E-2</v>
      </c>
      <c r="J6">
        <f t="shared" si="0"/>
        <v>4.6296296296296301E-2</v>
      </c>
      <c r="K6">
        <f t="shared" si="0"/>
        <v>4.6296296296296301E-2</v>
      </c>
      <c r="L6">
        <f t="shared" si="0"/>
        <v>4.6296296296296301E-2</v>
      </c>
      <c r="M6">
        <f t="shared" si="0"/>
        <v>4.6296296296296301E-2</v>
      </c>
      <c r="N6">
        <f t="shared" si="0"/>
        <v>4.6296296296296301E-2</v>
      </c>
      <c r="O6">
        <f t="shared" si="0"/>
        <v>4.6296296296296301E-2</v>
      </c>
      <c r="P6">
        <f t="shared" si="0"/>
        <v>4.6296296296296301E-2</v>
      </c>
      <c r="Q6">
        <f t="shared" si="0"/>
        <v>4.6296296296296301E-2</v>
      </c>
      <c r="R6">
        <f t="shared" si="0"/>
        <v>4.6296296296296301E-2</v>
      </c>
      <c r="S6">
        <f t="shared" si="0"/>
        <v>4.6296296296296301E-2</v>
      </c>
      <c r="T6">
        <f t="shared" si="0"/>
        <v>4.6296296296296301E-2</v>
      </c>
      <c r="U6">
        <f t="shared" si="0"/>
        <v>4.6296296296296301E-2</v>
      </c>
      <c r="V6">
        <f t="shared" si="0"/>
        <v>4.6296296296296301E-2</v>
      </c>
      <c r="W6">
        <f t="shared" si="0"/>
        <v>4.6296296296296301E-2</v>
      </c>
      <c r="X6">
        <f t="shared" si="0"/>
        <v>4.6296296296296301E-2</v>
      </c>
      <c r="Y6">
        <f t="shared" si="0"/>
        <v>4.6296296296296301E-2</v>
      </c>
      <c r="Z6">
        <f t="shared" si="0"/>
        <v>4.6296296296296301E-2</v>
      </c>
      <c r="AA6">
        <f t="shared" si="0"/>
        <v>4.6296296296296301E-2</v>
      </c>
      <c r="AB6">
        <f t="shared" si="0"/>
        <v>4.6296296296296301E-2</v>
      </c>
      <c r="AC6">
        <f t="shared" si="0"/>
        <v>4.6296296296296301E-2</v>
      </c>
      <c r="AD6">
        <f t="shared" si="0"/>
        <v>4.6296296296296301E-2</v>
      </c>
      <c r="AE6">
        <f t="shared" si="0"/>
        <v>4.6296296296296301E-2</v>
      </c>
      <c r="AF6">
        <f t="shared" si="0"/>
        <v>4.6296296296296301E-2</v>
      </c>
      <c r="AG6">
        <f t="shared" si="0"/>
        <v>4.6296296296296301E-2</v>
      </c>
      <c r="AH6">
        <f t="shared" si="0"/>
        <v>4.6296296296296301E-2</v>
      </c>
      <c r="AI6">
        <f t="shared" si="0"/>
        <v>9.2592592592592601E-2</v>
      </c>
      <c r="AJ6">
        <f t="shared" si="0"/>
        <v>4.6296296296296301E-2</v>
      </c>
      <c r="AK6">
        <f t="shared" si="0"/>
        <v>9.2592592592592601E-2</v>
      </c>
      <c r="AL6">
        <f t="shared" si="0"/>
        <v>9.2592592592592601E-2</v>
      </c>
      <c r="AM6">
        <f t="shared" si="0"/>
        <v>4.6296296296296301E-2</v>
      </c>
      <c r="AN6">
        <f t="shared" si="0"/>
        <v>4.6296296296296301E-2</v>
      </c>
      <c r="AO6">
        <f t="shared" si="0"/>
        <v>4.6296296296296301E-2</v>
      </c>
      <c r="AP6">
        <f t="shared" si="0"/>
        <v>4.6296296296296301E-2</v>
      </c>
      <c r="AQ6">
        <f t="shared" si="0"/>
        <v>9.2592592592592601E-2</v>
      </c>
      <c r="AR6">
        <f t="shared" si="0"/>
        <v>4.6296296296296301E-2</v>
      </c>
      <c r="AS6">
        <f t="shared" si="0"/>
        <v>4.6296296296296301E-2</v>
      </c>
      <c r="AT6">
        <f t="shared" si="0"/>
        <v>4.6296296296296301E-2</v>
      </c>
      <c r="AU6">
        <f t="shared" si="0"/>
        <v>4.6296296296296301E-2</v>
      </c>
      <c r="AV6">
        <f t="shared" si="0"/>
        <v>9.2592592592592601E-2</v>
      </c>
      <c r="AW6">
        <f t="shared" si="0"/>
        <v>4.6296296296296301E-2</v>
      </c>
      <c r="AX6">
        <f t="shared" si="0"/>
        <v>4.6296296296296301E-2</v>
      </c>
      <c r="AY6">
        <f t="shared" si="0"/>
        <v>4.6296296296296301E-2</v>
      </c>
      <c r="AZ6">
        <f t="shared" si="0"/>
        <v>4.6296296296296301E-2</v>
      </c>
      <c r="BA6">
        <f t="shared" si="0"/>
        <v>9.2592592592592601E-2</v>
      </c>
      <c r="BB6">
        <f t="shared" si="0"/>
        <v>9.2592592592592601E-2</v>
      </c>
      <c r="BC6">
        <f t="shared" si="0"/>
        <v>9.2592592592592601E-2</v>
      </c>
      <c r="BD6">
        <f t="shared" si="0"/>
        <v>9.2592592592592601E-2</v>
      </c>
      <c r="BE6">
        <f t="shared" si="0"/>
        <v>9.2592592592592601E-2</v>
      </c>
      <c r="BF6">
        <f t="shared" si="0"/>
        <v>9.2592592592592601E-2</v>
      </c>
      <c r="BG6">
        <f t="shared" si="0"/>
        <v>4.6296296296296301E-2</v>
      </c>
      <c r="BH6">
        <f t="shared" si="0"/>
        <v>9.2592592592592601E-2</v>
      </c>
      <c r="BI6">
        <f t="shared" si="0"/>
        <v>4.6296296296296301E-2</v>
      </c>
      <c r="BJ6">
        <f t="shared" si="0"/>
        <v>4.6296296296296301E-2</v>
      </c>
      <c r="BK6">
        <f t="shared" si="0"/>
        <v>4.6296296296296301E-2</v>
      </c>
      <c r="BL6">
        <f t="shared" si="0"/>
        <v>4.6296296296296301E-2</v>
      </c>
      <c r="BM6">
        <f t="shared" si="0"/>
        <v>4.6296296296296301E-2</v>
      </c>
      <c r="BN6">
        <f t="shared" si="0"/>
        <v>4.6296296296296301E-2</v>
      </c>
      <c r="BO6">
        <f t="shared" ref="BO6:CL6" si="1">BO4*BO5</f>
        <v>9.2592592592592601E-2</v>
      </c>
      <c r="BP6">
        <f t="shared" si="1"/>
        <v>9.2592592592592601E-2</v>
      </c>
      <c r="BQ6">
        <f t="shared" si="1"/>
        <v>4.6296296296296301E-2</v>
      </c>
      <c r="BR6">
        <f t="shared" si="1"/>
        <v>9.2592592592592601E-2</v>
      </c>
      <c r="BS6">
        <f t="shared" si="1"/>
        <v>4.6296296296296301E-2</v>
      </c>
      <c r="BT6">
        <f t="shared" si="1"/>
        <v>4.6296296296296301E-2</v>
      </c>
      <c r="BU6">
        <f t="shared" si="1"/>
        <v>4.6296296296296301E-2</v>
      </c>
      <c r="BV6">
        <f t="shared" si="1"/>
        <v>4.6296296296296301E-2</v>
      </c>
      <c r="BW6">
        <f t="shared" si="1"/>
        <v>4.6296296296296301E-2</v>
      </c>
      <c r="BX6">
        <f t="shared" si="1"/>
        <v>4.6296296296296301E-2</v>
      </c>
      <c r="BY6">
        <f t="shared" si="1"/>
        <v>4.6296296296296301E-2</v>
      </c>
      <c r="BZ6">
        <f t="shared" si="1"/>
        <v>9.2592592592592601E-2</v>
      </c>
      <c r="CA6">
        <f t="shared" si="1"/>
        <v>9.2592592592592601E-2</v>
      </c>
      <c r="CB6">
        <f t="shared" si="1"/>
        <v>4.6296296296296301E-2</v>
      </c>
      <c r="CC6">
        <f t="shared" si="1"/>
        <v>4.6296296296296301E-2</v>
      </c>
      <c r="CD6">
        <f t="shared" si="1"/>
        <v>4.6296296296296301E-2</v>
      </c>
      <c r="CE6">
        <f t="shared" si="1"/>
        <v>9.2592592592592601E-2</v>
      </c>
      <c r="CF6">
        <f t="shared" si="1"/>
        <v>9.2592592592592601E-2</v>
      </c>
      <c r="CG6">
        <f t="shared" si="1"/>
        <v>4.6296296296296301E-2</v>
      </c>
      <c r="CH6">
        <f t="shared" si="1"/>
        <v>4.6296296296296301E-2</v>
      </c>
      <c r="CI6">
        <f t="shared" si="1"/>
        <v>4.6296296296296301E-2</v>
      </c>
      <c r="CJ6">
        <f t="shared" si="1"/>
        <v>4.6296296296296301E-2</v>
      </c>
      <c r="CK6">
        <f t="shared" si="1"/>
        <v>4.6296296296296301E-2</v>
      </c>
      <c r="CL6">
        <f t="shared" si="1"/>
        <v>4.6296296296296301E-2</v>
      </c>
      <c r="CM6">
        <f>SUM(B6:CL6)</f>
        <v>5.0000000000000044</v>
      </c>
    </row>
    <row r="7" spans="2:109" x14ac:dyDescent="0.25">
      <c r="B7">
        <v>3.7037037037037035E-2</v>
      </c>
      <c r="C7">
        <v>3.7037037037037035E-2</v>
      </c>
      <c r="D7">
        <v>3.7037037037037035E-2</v>
      </c>
      <c r="E7">
        <v>3.7037037037037035E-2</v>
      </c>
      <c r="F7">
        <v>3.7037037037037035E-2</v>
      </c>
      <c r="G7">
        <v>3.7037037037037035E-2</v>
      </c>
      <c r="H7">
        <v>3.7037037037037035E-2</v>
      </c>
      <c r="I7">
        <v>3.7037037037037035E-2</v>
      </c>
      <c r="J7">
        <v>3.7037037037037035E-2</v>
      </c>
      <c r="K7">
        <v>3.7037037037037035E-2</v>
      </c>
      <c r="L7">
        <v>3.7037037037037035E-2</v>
      </c>
      <c r="M7">
        <v>3.7037037037037035E-2</v>
      </c>
      <c r="N7">
        <v>3.7037037037037035E-2</v>
      </c>
      <c r="O7">
        <v>3.7037037037037035E-2</v>
      </c>
      <c r="P7">
        <v>3.7037037037037035E-2</v>
      </c>
      <c r="Q7">
        <v>3.7037037037037035E-2</v>
      </c>
      <c r="R7">
        <v>3.7037037037037035E-2</v>
      </c>
      <c r="S7">
        <v>3.7037037037037035E-2</v>
      </c>
      <c r="T7">
        <v>3.7037037037037035E-2</v>
      </c>
      <c r="U7">
        <v>3.7037037037037035E-2</v>
      </c>
      <c r="V7">
        <v>3.7037037037037035E-2</v>
      </c>
      <c r="W7">
        <v>3.7037037037037035E-2</v>
      </c>
      <c r="X7">
        <v>3.7037037037037035E-2</v>
      </c>
      <c r="Y7">
        <v>3.7037037037037035E-2</v>
      </c>
      <c r="Z7">
        <v>3.7037037037037035E-2</v>
      </c>
    </row>
  </sheetData>
  <mergeCells count="13">
    <mergeCell ref="BW3:CA3"/>
    <mergeCell ref="CB3:CF3"/>
    <mergeCell ref="CG3:CL3"/>
    <mergeCell ref="Y3:AD3"/>
    <mergeCell ref="AE3:AM3"/>
    <mergeCell ref="AN3:AQ3"/>
    <mergeCell ref="AR3:BD3"/>
    <mergeCell ref="BE3:BK3"/>
    <mergeCell ref="BL3:BV3"/>
    <mergeCell ref="B3:F3"/>
    <mergeCell ref="G3:L3"/>
    <mergeCell ref="M3:S3"/>
    <mergeCell ref="T3:X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2024-04-08T10:35:07Z</dcterms:modified>
</cp:coreProperties>
</file>